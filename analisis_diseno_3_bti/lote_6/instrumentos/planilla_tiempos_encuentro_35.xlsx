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cuentro 3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70" customWidth="1" min="1" max="1"/>
    <col width="44" customWidth="1" min="2" max="2"/>
    <col width="24" customWidth="1" min="3" max="3"/>
  </cols>
  <sheetData>
    <row r="1">
      <c r="A1" s="1" t="inlineStr">
        <is>
          <t>Planilla de tiempos del Encuentro 35 — demostración y defensa individual (un solo evaluador)</t>
        </is>
      </c>
    </row>
    <row r="2">
      <c r="A2" t="inlineStr">
        <is>
          <t>Escribí tus valores en la columna B (celdas amarillas). Los de ejemplo son ficticios: no son la duración de la HC de ninguna institución.</t>
        </is>
      </c>
    </row>
    <row r="3">
      <c r="A3" t="inlineStr">
        <is>
          <t>Dato</t>
        </is>
      </c>
      <c r="B3" t="inlineStr">
        <is>
          <t>Valor</t>
        </is>
      </c>
      <c r="C3" t="inlineStr">
        <is>
          <t>Quién lo escribe</t>
        </is>
      </c>
    </row>
    <row r="4">
      <c r="A4" t="inlineStr">
        <is>
          <t>Cantidad de equipos</t>
        </is>
      </c>
      <c r="B4" s="2" t="n">
        <v>6</v>
      </c>
      <c r="C4" t="inlineStr">
        <is>
          <t>Docente</t>
        </is>
      </c>
    </row>
    <row r="5">
      <c r="A5" t="inlineStr">
        <is>
          <t>Cantidad de estudiantes</t>
        </is>
      </c>
      <c r="B5" s="2" t="n">
        <v>24</v>
      </c>
      <c r="C5" t="inlineStr">
        <is>
          <t>Docente</t>
        </is>
      </c>
    </row>
    <row r="6">
      <c r="A6" t="inlineStr">
        <is>
          <t>Minutos de cada HC en la institución</t>
        </is>
      </c>
      <c r="B6" s="2" t="n">
        <v>45</v>
      </c>
      <c r="C6" t="inlineStr">
        <is>
          <t>Docente (no se supone)</t>
        </is>
      </c>
    </row>
    <row r="7">
      <c r="A7" t="inlineStr">
        <is>
          <t>Minutos por demostración de equipo</t>
        </is>
      </c>
      <c r="B7" s="2" t="n">
        <v>12</v>
      </c>
      <c r="C7" t="inlineStr">
        <is>
          <t>Docente</t>
        </is>
      </c>
    </row>
    <row r="8">
      <c r="A8" t="inlineStr">
        <is>
          <t>Minutos de cambio entre equipos</t>
        </is>
      </c>
      <c r="B8" s="2" t="n">
        <v>3</v>
      </c>
      <c r="C8" t="inlineStr">
        <is>
          <t>Docente</t>
        </is>
      </c>
    </row>
    <row r="9">
      <c r="A9" t="inlineStr">
        <is>
          <t>Minutos por defensa individual</t>
        </is>
      </c>
      <c r="B9" s="2" t="n">
        <v>6</v>
      </c>
      <c r="C9" t="inlineStr">
        <is>
          <t>Docente</t>
        </is>
      </c>
    </row>
    <row r="10">
      <c r="A10" t="inlineStr">
        <is>
          <t>Estudiantes con recuperación en el Encuentro 36</t>
        </is>
      </c>
      <c r="B10" s="2" t="n">
        <v>5</v>
      </c>
      <c r="C10" t="inlineStr">
        <is>
          <t>Docente</t>
        </is>
      </c>
    </row>
    <row r="11">
      <c r="A11" t="inlineStr">
        <is>
          <t>Minutos por recuperación</t>
        </is>
      </c>
      <c r="B11" s="2" t="n">
        <v>15</v>
      </c>
      <c r="C11" t="inlineStr">
        <is>
          <t>Docente</t>
        </is>
      </c>
    </row>
    <row r="12">
      <c r="A12" s="1" t="inlineStr">
        <is>
          <t>Resultado</t>
        </is>
      </c>
    </row>
    <row r="13">
      <c r="A13" t="inlineStr">
        <is>
          <t>¿Los datos son válidos?</t>
        </is>
      </c>
      <c r="B13">
        <f>IF(AND(ISNUMBER(B4),INT(B4)=B4,B4&gt;=1,ISNUMBER(B5),INT(B5)=B5,B5&gt;=1,ISNUMBER(B6),INT(B6)=B6,B6&gt;=1,ISNUMBER(B7),INT(B7)=B7,B7&gt;=1,ISNUMBER(B8),INT(B8)=B8,B8&gt;=0,ISNUMBER(B9),INT(B9)=B9,B9&gt;=1,ISNUMBER(B10),INT(B10)=B10,B10&gt;=0,ISNUMBER(B11),INT(B11)=B11,B11&gt;=0),"Sí","No: revisá los datos (enteros; equipos, estudiantes, minutos de la HC, de la demostración y de la defensa, mayores que 0)")</f>
        <v/>
      </c>
    </row>
    <row r="14">
      <c r="A14" t="inlineStr">
        <is>
          <t>Minutos de demostraciones</t>
        </is>
      </c>
      <c r="B14">
        <f>IF($B$13&lt;&gt;"Sí","—",B4*(B7+B8))</f>
        <v/>
      </c>
    </row>
    <row r="15">
      <c r="A15" t="inlineStr">
        <is>
          <t>Minutos de defensas individuales</t>
        </is>
      </c>
      <c r="B15">
        <f>IF($B$13&lt;&gt;"Sí","—",B5*B9)</f>
        <v/>
      </c>
    </row>
    <row r="16">
      <c r="A16" t="inlineStr">
        <is>
          <t>Minutos requeridos en el Encuentro 35</t>
        </is>
      </c>
      <c r="B16">
        <f>IF($B$13&lt;&gt;"Sí","—",B14+B15)</f>
        <v/>
      </c>
    </row>
    <row r="17">
      <c r="A17" t="inlineStr">
        <is>
          <t>Minutos disponibles en el Encuentro 35 (5 HC)</t>
        </is>
      </c>
      <c r="B17">
        <f>IF($B$13&lt;&gt;"Sí","—",5*B6)</f>
        <v/>
      </c>
    </row>
    <row r="18">
      <c r="A18" t="inlineStr">
        <is>
          <t>Diferencia en el Encuentro 35 (negativo: no alcanza)</t>
        </is>
      </c>
      <c r="B18">
        <f>IF($B$13&lt;&gt;"Sí","—",B17-B16)</f>
        <v/>
      </c>
    </row>
    <row r="19">
      <c r="A19" t="inlineStr">
        <is>
          <t>Minutos de demostración que no entran en el Encuentro 35</t>
        </is>
      </c>
      <c r="B19">
        <f>IF($B$13&lt;&gt;"Sí","—",MAX(0,B14-B17))</f>
        <v/>
      </c>
    </row>
    <row r="20">
      <c r="A20" t="inlineStr">
        <is>
          <t>Defensas que pasan al Encuentro 36 (enteras)</t>
        </is>
      </c>
      <c r="B20">
        <f>IF($B$13&lt;&gt;"Sí","—",IF(B18&gt;=0,0,IF(B19&gt;0,B5,ROUNDUP(-B18/B9,0))))</f>
        <v/>
      </c>
    </row>
    <row r="21">
      <c r="A21" t="inlineStr">
        <is>
          <t>Minutos trasladados al Encuentro 36 (defensas × minutos por defensa, más demostraciones)</t>
        </is>
      </c>
      <c r="B21">
        <f>IF($B$13&lt;&gt;"Sí","—",B20*B9+B19)</f>
        <v/>
      </c>
    </row>
    <row r="22">
      <c r="A22" t="inlineStr">
        <is>
          <t>Minutos de recuperaciones en el Encuentro 36</t>
        </is>
      </c>
      <c r="B22">
        <f>IF($B$13&lt;&gt;"Sí","—",B10*B11)</f>
        <v/>
      </c>
    </row>
    <row r="23">
      <c r="A23" t="inlineStr">
        <is>
          <t>Minutos de evaluación disponibles en el Encuentro 36 (3 HC)</t>
        </is>
      </c>
      <c r="B23">
        <f>IF($B$13&lt;&gt;"Sí","—",3*B6)</f>
        <v/>
      </c>
    </row>
    <row r="24">
      <c r="A24" t="inlineStr">
        <is>
          <t>Diferencia en el Encuentro 36 (negativo: no alcanza)</t>
        </is>
      </c>
      <c r="B24">
        <f>IF($B$13&lt;&gt;"Sí","—",B23-B22-B21)</f>
        <v/>
      </c>
    </row>
    <row r="25">
      <c r="A25" t="inlineStr">
        <is>
          <t>Alternativa</t>
        </is>
      </c>
      <c r="B25">
        <f>IF($B$13&lt;&gt;"Sí","—",IF(B18&gt;=0,"A",IF(B24&gt;=0,"B","B + calendario institucional autorizado")))</f>
        <v/>
      </c>
    </row>
    <row r="26">
      <c r="A26" t="inlineStr">
        <is>
          <t>Minutos sin lugar (requieren tiempo institucional autorizado)</t>
        </is>
      </c>
      <c r="B26">
        <f>IF($B$13&lt;&gt;"Sí","—",MAX(0,-B24))</f>
        <v/>
      </c>
    </row>
    <row r="27">
      <c r="A27" t="inlineStr">
        <is>
          <t>Aviso</t>
        </is>
      </c>
      <c r="B27">
        <f>IF($B$13&lt;&gt;"Sí","—",IF(B19&gt;0,"Las demostraciones solas superan el Encuentro 35",""))</f>
        <v/>
      </c>
    </row>
    <row r="29">
      <c r="A29" s="1" t="inlineStr">
        <is>
          <t>Alternativas</t>
        </is>
      </c>
    </row>
    <row r="30">
      <c r="A30" t="inlineStr">
        <is>
          <t>A. Todo en el Encuentro 35</t>
        </is>
      </c>
      <c r="B30" t="inlineStr">
        <is>
          <t>Si la planilla da diferencia positiva o cero: demostraciones en plenario con tiempo fijo y, después, las defensas individuales una por una. Mientras el docente toma una defensa, el resto del curso completa su ficha de retrospectiva (preparación del Encuentro 36, sin evaluación). Un solo evaluador.</t>
        </is>
      </c>
    </row>
    <row r="31">
      <c r="A31" t="inlineStr">
        <is>
          <t>B. Defensas que continúan en el Encuentro 36</t>
        </is>
      </c>
      <c r="B31" t="inlineStr">
        <is>
          <t>Si el Encuentro 35 no alcanza: las defensas que faltan se toman al comienzo de las 3 HC de evaluación del Encuentro 36, antes que las recuperaciones; se cuentan por defensas enteras. Las recuperaciones se ordenan por prioridad (condición mínima, evidencia ausente, nivel Inicial) en el tiempo que queda. Ninguna evidencia obligatoria se elimina.</t>
        </is>
      </c>
    </row>
    <row r="32">
      <c r="A32" t="inlineStr">
        <is>
          <t>B+. Si tampoco alcanza el Encuentro 36</t>
        </is>
      </c>
      <c r="B32" t="inlineStr">
        <is>
          <t>Los minutos que la planilla da «sin lugar» se programan en el tiempo que la institución autorice dentro de su calendario, y se registran (qué estudiantes, qué evidencia, cuándo). No se suponen horas extraordinarias de docentes ni de estudiantes que la institución no haya dispuesto.</t>
        </is>
      </c>
    </row>
  </sheetData>
  <dataValidations count="8">
    <dataValidation sqref="B4" showDropDown="0" showInputMessage="0" showErrorMessage="1" allowBlank="0" error="Escribí un número entero mayor o igual que 1." type="whole" operator="greaterThanOrEqual">
      <formula1>1</formula1>
    </dataValidation>
    <dataValidation sqref="B5" showDropDown="0" showInputMessage="0" showErrorMessage="1" allowBlank="0" error="Escribí un número entero mayor o igual que 1." type="whole" operator="greaterThanOrEqual">
      <formula1>1</formula1>
    </dataValidation>
    <dataValidation sqref="B6" showDropDown="0" showInputMessage="0" showErrorMessage="1" allowBlank="0" error="Escribí un número entero mayor o igual que 1." type="whole" operator="greaterThanOrEqual">
      <formula1>1</formula1>
    </dataValidation>
    <dataValidation sqref="B7" showDropDown="0" showInputMessage="0" showErrorMessage="1" allowBlank="0" error="Escribí un número entero mayor o igual que 1." type="whole" operator="greaterThanOrEqual">
      <formula1>1</formula1>
    </dataValidation>
    <dataValidation sqref="B8" showDropDown="0" showInputMessage="0" showErrorMessage="1" allowBlank="0" error="Escribí un número entero mayor o igual que 0." type="whole" operator="greaterThanOrEqual">
      <formula1>0</formula1>
    </dataValidation>
    <dataValidation sqref="B9" showDropDown="0" showInputMessage="0" showErrorMessage="1" allowBlank="0" error="Escribí un número entero mayor o igual que 1." type="whole" operator="greaterThanOrEqual">
      <formula1>1</formula1>
    </dataValidation>
    <dataValidation sqref="B10" showDropDown="0" showInputMessage="0" showErrorMessage="1" allowBlank="0" error="Escribí un número entero mayor o igual que 0." type="whole" operator="greaterThanOrEqual">
      <formula1>0</formula1>
    </dataValidation>
    <dataValidation sqref="B11" showDropDown="0" showInputMessage="0" showErrorMessage="1" allowBlank="0" error="Escribí un número entero mayor o igual que 0." type="whole"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2026-10-21T15:00:12Z</dcterms:created>
  <dcterms:modified xmlns:dcterms="http://purl.org/dc/terms/" xmlns:xsi="http://www.w3.org/2001/XMLSchema-instance" xsi:type="dcterms:W3CDTF">2026-10-21T15:00:12Z</dcterms:modified>
</cp:coreProperties>
</file>